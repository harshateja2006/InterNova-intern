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dad0ecb9cff1fe/Documents/InterNova/Internova-intern/week-3/"/>
    </mc:Choice>
  </mc:AlternateContent>
  <xr:revisionPtr revIDLastSave="189" documentId="8_{ADFDF35E-C620-4B5A-AAAA-75795F742969}" xr6:coauthVersionLast="47" xr6:coauthVersionMax="47" xr10:uidLastSave="{6AABD655-1DB0-41DF-B9F0-D6EC6E171CA8}"/>
  <bookViews>
    <workbookView xWindow="-108" yWindow="-108" windowWidth="23256" windowHeight="12456" xr2:uid="{EA1D8B78-58A1-4FD0-98E9-9859695485AC}"/>
  </bookViews>
  <sheets>
    <sheet name="Pivot_summary" sheetId="3" r:id="rId1"/>
    <sheet name="Employee_Sales" sheetId="1" r:id="rId2"/>
    <sheet name="Employee_Lookup" sheetId="2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B18" i="1"/>
  <c r="B17" i="1"/>
  <c r="J2" i="1"/>
  <c r="I2" i="1"/>
  <c r="G2" i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<sst xmlns="http://schemas.openxmlformats.org/spreadsheetml/2006/main" count="101" uniqueCount="60">
  <si>
    <t>Employee_ID</t>
  </si>
  <si>
    <t>Employee_Name</t>
  </si>
  <si>
    <t>Department</t>
  </si>
  <si>
    <t>City</t>
  </si>
  <si>
    <t>Sales</t>
  </si>
  <si>
    <t>Rating</t>
  </si>
  <si>
    <t>Rahul</t>
  </si>
  <si>
    <t>IT</t>
  </si>
  <si>
    <t>Hyderabad</t>
  </si>
  <si>
    <t>Priya</t>
  </si>
  <si>
    <t>HR</t>
  </si>
  <si>
    <t>Chennai</t>
  </si>
  <si>
    <t>Arjun</t>
  </si>
  <si>
    <t>Bengaluru</t>
  </si>
  <si>
    <t>Sneha</t>
  </si>
  <si>
    <t>Finance</t>
  </si>
  <si>
    <t>Visakhapatnam</t>
  </si>
  <si>
    <t>Kiran</t>
  </si>
  <si>
    <t>Anjali</t>
  </si>
  <si>
    <t>Vikram</t>
  </si>
  <si>
    <t>Divya</t>
  </si>
  <si>
    <t>Perfomance</t>
  </si>
  <si>
    <t>High Performance Count</t>
  </si>
  <si>
    <t>IT Total Sales</t>
  </si>
  <si>
    <t>Function</t>
  </si>
  <si>
    <t>Purpose</t>
  </si>
  <si>
    <t>IF()</t>
  </si>
  <si>
    <t>Checks a condition and returns different results based on TRUE or FALSE.</t>
  </si>
  <si>
    <t>COUNTIF()</t>
  </si>
  <si>
    <t>Counts cells that satisfy a specified condition.</t>
  </si>
  <si>
    <t>SUMIF()</t>
  </si>
  <si>
    <t>Adds values that satisfy a specified condition.</t>
  </si>
  <si>
    <t>Condition</t>
  </si>
  <si>
    <t>Sales &gt;= 60000</t>
  </si>
  <si>
    <t>Performance = High</t>
  </si>
  <si>
    <t>Department = IT</t>
  </si>
  <si>
    <t>Formula</t>
  </si>
  <si>
    <t>=IF(E2&gt;=60000,"High","Low")</t>
  </si>
  <si>
    <t>=COUNTIF(G2:G9,"High")</t>
  </si>
  <si>
    <t>=SUMIF(C2:C9,"IT",E2:E9)</t>
  </si>
  <si>
    <t>Salary</t>
  </si>
  <si>
    <t>Column1</t>
  </si>
  <si>
    <t>XLOOKUP</t>
  </si>
  <si>
    <t>VLOOKUP</t>
  </si>
  <si>
    <t>Key Difference</t>
  </si>
  <si>
    <t>Looks up a value in the first column and returns data from another column.</t>
  </si>
  <si>
    <t>Can only look from left to right.</t>
  </si>
  <si>
    <t>Looks up a value and returns the corresponding value from any column.</t>
  </si>
  <si>
    <t>Can look both left and right and is more flexible.</t>
  </si>
  <si>
    <t>=XLOOKUP(VALUE(A22),Employee_Lookup!A2:A9,Employee_Lookup!B2:B9)      ==   Arjun</t>
  </si>
  <si>
    <t>=XLOOKUP(VALUE(A22),Employee_Lookup!A2:A9,Employee_Lookup!B2:B9)   ==   Anjali</t>
  </si>
  <si>
    <t>Row Labels</t>
  </si>
  <si>
    <t>Grand Total</t>
  </si>
  <si>
    <t>Sum of Sales</t>
  </si>
  <si>
    <t>Pivot Table Explanation:</t>
  </si>
  <si>
    <t xml:space="preserve">The Pivot Table summarizes the total sales for each department. </t>
  </si>
  <si>
    <t>It helps compare department-wise sales and shows the overall total sales of ₹4,60,000.</t>
  </si>
  <si>
    <t>Pivot Chart Explanation:</t>
  </si>
  <si>
    <t>The Pivot Chart visually represents the department-wise total sales.</t>
  </si>
  <si>
    <t>It makes it easy to compare the sales performance of Finance, HR, IT, and Sales departments.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</si>
</sst>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43" fontId="0" fillId="0" borderId="0" xfId="1" applyFont="1" applyAlignment="1"/>
    <xf numFmtId="0" fontId="2" fillId="2" borderId="1" xfId="0" applyFont="1" applyFill="1" applyBorder="1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/>
    <xf numFmtId="0" fontId="2" fillId="4" borderId="2" xfId="0" applyFont="1" applyFill="1" applyBorder="1"/>
    <xf numFmtId="0" fontId="2" fillId="6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3" fillId="0" borderId="1" xfId="0" quotePrefix="1" applyFont="1" applyBorder="1"/>
    <xf numFmtId="0" fontId="2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/>
  </cellXfs>
  <cellStyles count="2">
    <cellStyle name="Comma" xfId="1" builtinId="3"/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[Employee_sales.xlsx]Pivot_summary!PivotTable1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Department-wise Total Sales</a:t>
            </a:r>
          </a:p>
        </c:rich>
      </c:tx>
      <c:layout>
        <c:manualLayout>
          <c:xMode val="edge"/>
          <c:yMode val="edge"/>
          <c:x val="0.2869444444444445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Pivot_summary!$A$4:$A$8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Pivot_summary!$B$4:$B$8</c:f>
              <c:numCache>
                <c:formatCode>_(* #,##0.00_);_(* \(#,##0.00\);_(* "-"??_);_(@_)</c:formatCode>
                <c:ptCount val="4"/>
                <c:pt idx="0">
                  <c:v>99000</c:v>
                </c:pt>
                <c:pt idx="1">
                  <c:v>42000</c:v>
                </c:pt>
                <c:pt idx="2">
                  <c:v>198000</c:v>
                </c:pt>
                <c:pt idx="3">
                  <c:v>121000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7-4D9A-9AA4-63BAFCF68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975232"/>
        <c:axId val="2008353360"/>
      </c:barChart>
      <c:catAx>
        <c:axId val="200497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353360"/>
        <c:crosses val="autoZero"/>
        <c:auto val="1"/>
        <c:lblAlgn val="ctr"/>
        <c:lblOffset val="100"/>
        <c:noMultiLvlLbl val="0"/>
      </c:catAx>
      <c:valAx>
        <c:axId val="20083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97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7626</xdr:colOff>
      <xdr:row>9</xdr:row>
      <xdr:rowOff>3810</xdr:rowOff>
    </xdr:from>
    <xdr:to>
      <xdr:col>6</xdr:col>
      <xdr:colOff>571500</xdr:colOff>
      <xdr:row>24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65A06-1683-D018-7C78-93A849002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 TEJA" refreshedDate="46299.957065509261" createdVersion="8" refreshedVersion="8" minRefreshableVersion="3" recordCount="8" xr:uid="{807E3903-33BA-43EE-985C-2FB28294720D}">
  <cacheSource type="worksheet">
    <worksheetSource name="Table1"/>
  </cacheSource>
  <cacheFields count="7">
    <cacheField name="Employee_ID" numFmtId="0">
      <sharedItems containsSemiMixedTypes="0" containsString="0" containsNumber="1" containsInteger="1" minValue="101" maxValue="108"/>
    </cacheField>
    <cacheField name="Employee_Name" numFmtId="0">
      <sharedItems/>
    </cacheField>
    <cacheField name="Department" numFmtId="0">
      <sharedItems count="4">
        <s v="IT"/>
        <s v="HR"/>
        <s v="Finance"/>
        <s v="Sales"/>
      </sharedItems>
    </cacheField>
    <cacheField name="City" numFmtId="0">
      <sharedItems/>
    </cacheField>
    <cacheField name="Sales" numFmtId="43">
      <sharedItems containsSemiMixedTypes="0" containsString="0" containsNumber="1" containsInteger="1" minValue="42000" maxValue="75000"/>
    </cacheField>
    <cacheField name="Rating" numFmtId="0">
      <sharedItems containsSemiMixedTypes="0" containsString="0" containsNumber="1" minValue="4.0999999999999996" maxValue="4.9000000000000004"/>
    </cacheField>
    <cacheField name="Perfom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1"/>
    <s v="Rahul"/>
    <x v="0"/>
    <s v="Hyderabad"/>
    <n v="55000"/>
    <n v="4.5"/>
    <s v="Low"/>
  </r>
  <r>
    <n v="102"/>
    <s v="Priya"/>
    <x v="1"/>
    <s v="Chennai"/>
    <n v="42000"/>
    <n v="4.2"/>
    <s v="Low"/>
  </r>
  <r>
    <n v="103"/>
    <s v="Arjun"/>
    <x v="0"/>
    <s v="Bengaluru"/>
    <n v="68000"/>
    <n v="4.8"/>
    <s v="High"/>
  </r>
  <r>
    <n v="104"/>
    <s v="Sneha"/>
    <x v="2"/>
    <s v="Visakhapatnam"/>
    <n v="48000"/>
    <n v="4.0999999999999996"/>
    <s v="Low"/>
  </r>
  <r>
    <n v="105"/>
    <s v="Kiran"/>
    <x v="0"/>
    <s v="Hyderabad"/>
    <n v="75000"/>
    <n v="4.9000000000000004"/>
    <s v="High"/>
  </r>
  <r>
    <n v="106"/>
    <s v="Anjali"/>
    <x v="3"/>
    <s v="Chennai"/>
    <n v="62000"/>
    <n v="4.5999999999999996"/>
    <s v="High"/>
  </r>
  <r>
    <n v="107"/>
    <s v="Vikram"/>
    <x v="2"/>
    <s v="Bengaluru"/>
    <n v="51000"/>
    <n v="4.3"/>
    <s v="Low"/>
  </r>
  <r>
    <n v="108"/>
    <s v="Divya"/>
    <x v="3"/>
    <s v="Hyderabad"/>
    <n v="59000"/>
    <n v="4.4000000000000004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D8655-3779-49E5-B6D8-B45656D8160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numFmtId="43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 numFmtId="4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75DDD-B912-413C-A25E-B1F073DBB571}" name="Table1" displayName="Table1" ref="A1:G9" totalsRowShown="0" headerRowDxfId="17" dataDxfId="16">
  <autoFilter ref="A1:G9" xr:uid="{23A75DDD-B912-413C-A25E-B1F073DBB571}"/>
  <sortState xmlns:xlrd2="http://schemas.microsoft.com/office/spreadsheetml/2017/richdata2" ref="A2:F9">
    <sortCondition ref="A1:A9"/>
  </sortState>
  <tableColumns count="7">
    <tableColumn id="1" xr3:uid="{B36DC613-B7A6-4E9E-980F-206F5A6107EE}" name="Employee_ID" dataDxfId="15"/>
    <tableColumn id="2" xr3:uid="{2D01C4A8-6C03-47D1-8890-469B47121098}" name="Employee_Name" dataDxfId="14"/>
    <tableColumn id="3" xr3:uid="{FB5913DE-2CF0-4BC1-98B5-E6BF9160B4C1}" name="Department" dataDxfId="13"/>
    <tableColumn id="4" xr3:uid="{3A589F82-1FD2-480D-8743-CCF7D59E386C}" name="City" dataDxfId="12"/>
    <tableColumn id="5" xr3:uid="{D7A71D27-82C6-42F6-A64A-6B2ECF98D7E6}" name="Sales" dataDxfId="11" dataCellStyle="Comma"/>
    <tableColumn id="6" xr3:uid="{285E1EAA-F0A1-49E7-9455-6B6D2302F746}" name="Rating" dataDxfId="10"/>
    <tableColumn id="7" xr3:uid="{54600CBD-00C9-4829-A467-2A850A3D4203}" name="Perfomance" dataDxfId="9">
      <calculatedColumnFormula>IF(E2&gt;=60000,"High","Low")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96628-EE09-47FD-9C30-1EE805C7F52C}" name="Table2" displayName="Table2" ref="A1:E9" totalsRowShown="0" headerRowDxfId="8" dataDxfId="6" headerRowBorderDxfId="7">
  <autoFilter ref="A1:E9" xr:uid="{43B96628-EE09-47FD-9C30-1EE805C7F52C}"/>
  <tableColumns count="5">
    <tableColumn id="1" xr3:uid="{15940650-EE79-4B8D-9FE5-22608972B108}" name="Employee_ID" dataDxfId="5"/>
    <tableColumn id="2" xr3:uid="{A9CFA0E9-2132-480E-8F12-6C9EA42F5300}" name="Employee_Name" dataDxfId="4"/>
    <tableColumn id="3" xr3:uid="{AC5A5C88-4254-4F34-A77B-F3ADC81FF29E}" name="Department" dataDxfId="3"/>
    <tableColumn id="4" xr3:uid="{BCB40FCF-6BF5-4474-AAA9-17850B2518C8}" name="Salary" dataDxfId="2"/>
    <tableColumn id="5" xr3:uid="{072940CE-66D0-4746-88A9-B4AB47FABD6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EA67-B2FE-4E61-85C4-0EE5850A5A05}">
  <dimension ref="A3:I13"/>
  <sheetViews>
    <sheetView tabSelected="1" workbookViewId="0">
      <selection activeCell="I16" sqref="I16"/>
    </sheetView>
  </sheetViews>
  <sheetFormatPr defaultRowHeight="14.4"/>
  <cols>
    <col min="1" max="1" width="12.5546875" bestFit="1" customWidth="1"/>
    <col min="2" max="2" width="11.6640625" bestFit="1" customWidth="1"/>
    <col min="4" max="4" width="21.88671875" customWidth="1"/>
    <col min="9" max="9" width="21.77734375" customWidth="1"/>
  </cols>
  <sheetData>
    <row r="3" spans="1:9">
      <c r="A3" s="18" t="s">
        <v>51</v>
      </c>
      <c r="B3" t="s">
        <v>53</v>
      </c>
      <c r="D3" s="21" t="s">
        <v>54</v>
      </c>
    </row>
    <row r="4" spans="1:9">
      <c r="A4" s="19" t="s">
        <v>15</v>
      </c>
      <c r="B4" s="20">
        <v>99000</v>
      </c>
      <c r="D4" s="22" t="s">
        <v>55</v>
      </c>
      <c r="F4" s="22"/>
    </row>
    <row r="5" spans="1:9">
      <c r="A5" s="19" t="s">
        <v>10</v>
      </c>
      <c r="B5" s="20">
        <v>42000</v>
      </c>
      <c r="D5" t="s">
        <v>56</v>
      </c>
    </row>
    <row r="6" spans="1:9">
      <c r="A6" s="19" t="s">
        <v>7</v>
      </c>
      <c r="B6" s="20">
        <v>198000</v>
      </c>
    </row>
    <row r="7" spans="1:9">
      <c r="A7" s="19" t="s">
        <v>4</v>
      </c>
      <c r="B7" s="20">
        <v>121000</v>
      </c>
    </row>
    <row r="8" spans="1:9">
      <c r="A8" s="19" t="s">
        <v>52</v>
      </c>
      <c r="B8" s="20">
        <v>460000</v>
      </c>
    </row>
    <row r="11" spans="1:9">
      <c r="I11" s="1" t="s">
        <v>57</v>
      </c>
    </row>
    <row r="12" spans="1:9">
      <c r="I12" s="22" t="s">
        <v>58</v>
      </c>
    </row>
    <row r="13" spans="1:9">
      <c r="I13" t="s">
        <v>59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72C-640B-48CC-8B2E-B69C8E642B5C}">
  <dimension ref="A1:P25"/>
  <sheetViews>
    <sheetView zoomScale="70" zoomScaleNormal="70" workbookViewId="0">
      <selection activeCell="A2" sqref="A2:G2"/>
    </sheetView>
  </sheetViews>
  <sheetFormatPr defaultRowHeight="14.4"/>
  <cols>
    <col min="1" max="1" width="15.33203125" customWidth="1"/>
    <col min="2" max="2" width="16.6640625" customWidth="1"/>
    <col min="3" max="6" width="15.33203125" customWidth="1"/>
    <col min="9" max="9" width="13.44140625" customWidth="1"/>
    <col min="10" max="10" width="17.77734375" customWidth="1"/>
    <col min="11" max="11" width="26.886718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I1" s="1" t="s">
        <v>22</v>
      </c>
      <c r="J1" s="1" t="s">
        <v>23</v>
      </c>
      <c r="K1" s="1"/>
    </row>
    <row r="2" spans="1:16">
      <c r="A2">
        <v>101</v>
      </c>
      <c r="B2" t="s">
        <v>6</v>
      </c>
      <c r="C2" t="s">
        <v>7</v>
      </c>
      <c r="D2" t="s">
        <v>8</v>
      </c>
      <c r="E2" s="2">
        <v>55000</v>
      </c>
      <c r="F2">
        <v>4.5</v>
      </c>
      <c r="G2" t="str">
        <f t="shared" ref="G2:G9" si="0">IF(E2&gt;=60000,"High","Low")</f>
        <v>Low</v>
      </c>
      <c r="I2">
        <f>COUNTIF(G2:G9,"High")</f>
        <v>3</v>
      </c>
      <c r="J2">
        <f>SUMIF(C2:C9,"IT",E2:E9)</f>
        <v>198000</v>
      </c>
    </row>
    <row r="3" spans="1:16">
      <c r="A3">
        <v>102</v>
      </c>
      <c r="B3" t="s">
        <v>9</v>
      </c>
      <c r="C3" t="s">
        <v>10</v>
      </c>
      <c r="D3" t="s">
        <v>11</v>
      </c>
      <c r="E3" s="2">
        <v>42000</v>
      </c>
      <c r="F3">
        <v>4.2</v>
      </c>
      <c r="G3" t="str">
        <f t="shared" si="0"/>
        <v>Low</v>
      </c>
    </row>
    <row r="4" spans="1:16">
      <c r="A4">
        <v>103</v>
      </c>
      <c r="B4" t="s">
        <v>12</v>
      </c>
      <c r="C4" t="s">
        <v>7</v>
      </c>
      <c r="D4" t="s">
        <v>13</v>
      </c>
      <c r="E4" s="2">
        <v>68000</v>
      </c>
      <c r="F4">
        <v>4.8</v>
      </c>
      <c r="G4" t="str">
        <f t="shared" si="0"/>
        <v>High</v>
      </c>
    </row>
    <row r="5" spans="1:16">
      <c r="A5">
        <v>104</v>
      </c>
      <c r="B5" t="s">
        <v>14</v>
      </c>
      <c r="C5" t="s">
        <v>15</v>
      </c>
      <c r="D5" t="s">
        <v>16</v>
      </c>
      <c r="E5" s="2">
        <v>48000</v>
      </c>
      <c r="F5">
        <v>4.0999999999999996</v>
      </c>
      <c r="G5" t="str">
        <f t="shared" si="0"/>
        <v>Low</v>
      </c>
    </row>
    <row r="6" spans="1:16">
      <c r="A6">
        <v>105</v>
      </c>
      <c r="B6" t="s">
        <v>17</v>
      </c>
      <c r="C6" t="s">
        <v>7</v>
      </c>
      <c r="D6" t="s">
        <v>8</v>
      </c>
      <c r="E6" s="2">
        <v>75000</v>
      </c>
      <c r="F6">
        <v>4.9000000000000004</v>
      </c>
      <c r="G6" t="str">
        <f t="shared" si="0"/>
        <v>High</v>
      </c>
    </row>
    <row r="7" spans="1:16">
      <c r="A7">
        <v>106</v>
      </c>
      <c r="B7" t="s">
        <v>18</v>
      </c>
      <c r="C7" t="s">
        <v>4</v>
      </c>
      <c r="D7" t="s">
        <v>11</v>
      </c>
      <c r="E7" s="2">
        <v>62000</v>
      </c>
      <c r="F7">
        <v>4.5999999999999996</v>
      </c>
      <c r="G7" t="str">
        <f t="shared" si="0"/>
        <v>High</v>
      </c>
      <c r="I7" s="8" t="s">
        <v>24</v>
      </c>
      <c r="J7" s="8" t="s">
        <v>32</v>
      </c>
      <c r="K7" s="8" t="s">
        <v>36</v>
      </c>
      <c r="L7" s="8" t="s">
        <v>25</v>
      </c>
      <c r="M7" s="4"/>
      <c r="N7" s="4"/>
      <c r="O7" s="4"/>
      <c r="P7" s="4"/>
    </row>
    <row r="8" spans="1:16">
      <c r="A8">
        <v>107</v>
      </c>
      <c r="B8" t="s">
        <v>19</v>
      </c>
      <c r="C8" t="s">
        <v>15</v>
      </c>
      <c r="D8" t="s">
        <v>13</v>
      </c>
      <c r="E8" s="2">
        <v>51000</v>
      </c>
      <c r="F8">
        <v>4.3</v>
      </c>
      <c r="G8" t="str">
        <f t="shared" si="0"/>
        <v>Low</v>
      </c>
      <c r="I8" s="4" t="s">
        <v>26</v>
      </c>
      <c r="J8" s="4" t="s">
        <v>33</v>
      </c>
      <c r="K8" s="15" t="s">
        <v>37</v>
      </c>
      <c r="L8" s="4" t="s">
        <v>27</v>
      </c>
      <c r="M8" s="4"/>
      <c r="N8" s="4"/>
      <c r="O8" s="4"/>
      <c r="P8" s="4"/>
    </row>
    <row r="9" spans="1:16">
      <c r="A9">
        <v>108</v>
      </c>
      <c r="B9" t="s">
        <v>20</v>
      </c>
      <c r="C9" t="s">
        <v>4</v>
      </c>
      <c r="D9" t="s">
        <v>8</v>
      </c>
      <c r="E9" s="2">
        <v>59000</v>
      </c>
      <c r="F9">
        <v>4.4000000000000004</v>
      </c>
      <c r="G9" t="str">
        <f t="shared" si="0"/>
        <v>Low</v>
      </c>
      <c r="I9" s="4"/>
      <c r="J9" s="4"/>
      <c r="K9" s="4"/>
      <c r="L9" s="4"/>
      <c r="M9" s="4"/>
      <c r="N9" s="4"/>
      <c r="O9" s="4"/>
      <c r="P9" s="4"/>
    </row>
    <row r="10" spans="1:16">
      <c r="I10" s="4" t="s">
        <v>28</v>
      </c>
      <c r="J10" s="4" t="s">
        <v>34</v>
      </c>
      <c r="K10" s="15" t="s">
        <v>38</v>
      </c>
      <c r="L10" s="4" t="s">
        <v>29</v>
      </c>
      <c r="M10" s="4"/>
      <c r="N10" s="4"/>
      <c r="O10" s="4"/>
      <c r="P10" s="4"/>
    </row>
    <row r="11" spans="1:16">
      <c r="I11" s="4"/>
      <c r="J11" s="4"/>
      <c r="K11" s="4"/>
      <c r="L11" s="4"/>
      <c r="M11" s="4"/>
      <c r="N11" s="4"/>
      <c r="O11" s="4"/>
      <c r="P11" s="4"/>
    </row>
    <row r="12" spans="1:16">
      <c r="I12" s="4" t="s">
        <v>30</v>
      </c>
      <c r="J12" s="4" t="s">
        <v>35</v>
      </c>
      <c r="K12" s="15" t="s">
        <v>39</v>
      </c>
      <c r="L12" s="4" t="s">
        <v>31</v>
      </c>
      <c r="M12" s="4"/>
      <c r="N12" s="4"/>
      <c r="O12" s="4"/>
      <c r="P12" s="4"/>
    </row>
    <row r="13" spans="1:16">
      <c r="D13" s="1"/>
    </row>
    <row r="15" spans="1:16">
      <c r="A15" s="16" t="s">
        <v>43</v>
      </c>
      <c r="B15" s="17"/>
      <c r="D15" s="16" t="s">
        <v>42</v>
      </c>
      <c r="E15" s="17"/>
    </row>
    <row r="16" spans="1:16">
      <c r="A16" s="7" t="s">
        <v>0</v>
      </c>
      <c r="B16" s="7" t="s">
        <v>1</v>
      </c>
      <c r="D16" s="9" t="s">
        <v>0</v>
      </c>
      <c r="E16" s="9" t="s">
        <v>1</v>
      </c>
    </row>
    <row r="17" spans="1:5">
      <c r="A17" s="6">
        <v>103</v>
      </c>
      <c r="B17" s="6" t="str">
        <f>VLOOKUP(A17,Employee_Lookup!A2:D9,2,FALSE)</f>
        <v>Arjun</v>
      </c>
      <c r="D17" s="4">
        <v>106</v>
      </c>
      <c r="E17" s="4" t="str">
        <f>_xlfn.XLOOKUP(VALUE(A7),Employee_Lookup!A2:A9,Employee_Lookup!B2:B9)</f>
        <v>Anjali</v>
      </c>
    </row>
    <row r="18" spans="1:5">
      <c r="A18" s="6">
        <v>105</v>
      </c>
      <c r="B18" s="6" t="str">
        <f>VLOOKUP(A18,Employee_Lookup!A2:D9,2,FALSE)</f>
        <v>Kiran</v>
      </c>
      <c r="D18" s="4">
        <v>108</v>
      </c>
      <c r="E18" s="4" t="str">
        <f>_xlfn.XLOOKUP(A9,Employee_Lookup!A2:A9,Employee_Lookup!B2:B9)</f>
        <v>Divya</v>
      </c>
    </row>
    <row r="19" spans="1:5">
      <c r="A19" s="5"/>
      <c r="B19" s="5"/>
    </row>
    <row r="22" spans="1:5" s="1" customFormat="1">
      <c r="A22" s="10" t="s">
        <v>24</v>
      </c>
      <c r="B22" s="10" t="s">
        <v>25</v>
      </c>
      <c r="C22" s="10" t="s">
        <v>44</v>
      </c>
      <c r="D22" s="10" t="s">
        <v>32</v>
      </c>
    </row>
    <row r="23" spans="1:5" ht="86.4">
      <c r="A23" s="11" t="s">
        <v>42</v>
      </c>
      <c r="B23" s="12" t="s">
        <v>45</v>
      </c>
      <c r="C23" s="13" t="s">
        <v>46</v>
      </c>
      <c r="D23" s="14" t="s">
        <v>49</v>
      </c>
    </row>
    <row r="24" spans="1:5">
      <c r="A24" s="4"/>
      <c r="B24" s="4"/>
      <c r="C24" s="4"/>
      <c r="D24" s="4"/>
    </row>
    <row r="25" spans="1:5" ht="86.4">
      <c r="A25" s="11" t="s">
        <v>42</v>
      </c>
      <c r="B25" s="12" t="s">
        <v>47</v>
      </c>
      <c r="C25" s="13" t="s">
        <v>48</v>
      </c>
      <c r="D25" s="14" t="s">
        <v>50</v>
      </c>
    </row>
  </sheetData>
  <mergeCells count="2">
    <mergeCell ref="D15:E15"/>
    <mergeCell ref="A15:B15"/>
  </mergeCells>
  <conditionalFormatting sqref="E2:E9">
    <cfRule type="cellIs" dxfId="1" priority="2" operator="greaterThan">
      <formula>60000</formula>
    </cfRule>
  </conditionalFormatting>
  <conditionalFormatting sqref="F2:F9">
    <cfRule type="cellIs" dxfId="0" priority="1" operator="greaterThan">
      <formula>4.5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45B1-D9F4-49EA-8A43-EB2D5D8FE8D3}">
  <dimension ref="A1:E9"/>
  <sheetViews>
    <sheetView workbookViewId="0">
      <selection activeCell="E11" sqref="E11"/>
    </sheetView>
  </sheetViews>
  <sheetFormatPr defaultRowHeight="14.4"/>
  <cols>
    <col min="1" max="1" width="14" customWidth="1"/>
    <col min="2" max="2" width="17.21875" customWidth="1"/>
    <col min="3" max="3" width="13" customWidth="1"/>
    <col min="5" max="5" width="10.44140625" customWidth="1"/>
  </cols>
  <sheetData>
    <row r="1" spans="1:5" s="4" customFormat="1">
      <c r="A1" s="3" t="s">
        <v>0</v>
      </c>
      <c r="B1" s="3" t="s">
        <v>1</v>
      </c>
      <c r="C1" s="3" t="s">
        <v>2</v>
      </c>
      <c r="D1" s="3" t="s">
        <v>40</v>
      </c>
      <c r="E1" s="3" t="s">
        <v>41</v>
      </c>
    </row>
    <row r="2" spans="1:5">
      <c r="A2">
        <v>101</v>
      </c>
      <c r="B2" t="s">
        <v>6</v>
      </c>
      <c r="C2" t="s">
        <v>7</v>
      </c>
      <c r="D2">
        <v>55000</v>
      </c>
    </row>
    <row r="3" spans="1:5">
      <c r="A3">
        <v>102</v>
      </c>
      <c r="B3" t="s">
        <v>9</v>
      </c>
      <c r="C3" t="s">
        <v>10</v>
      </c>
      <c r="D3">
        <v>45000</v>
      </c>
    </row>
    <row r="4" spans="1:5">
      <c r="A4">
        <v>103</v>
      </c>
      <c r="B4" t="s">
        <v>12</v>
      </c>
      <c r="C4" t="s">
        <v>7</v>
      </c>
      <c r="D4">
        <v>65000</v>
      </c>
    </row>
    <row r="5" spans="1:5">
      <c r="A5">
        <v>104</v>
      </c>
      <c r="B5" t="s">
        <v>14</v>
      </c>
      <c r="C5" t="s">
        <v>15</v>
      </c>
      <c r="D5">
        <v>50000</v>
      </c>
    </row>
    <row r="6" spans="1:5">
      <c r="A6">
        <v>105</v>
      </c>
      <c r="B6" t="s">
        <v>17</v>
      </c>
      <c r="C6" t="s">
        <v>7</v>
      </c>
      <c r="D6">
        <v>70000</v>
      </c>
    </row>
    <row r="7" spans="1:5">
      <c r="A7">
        <v>106</v>
      </c>
      <c r="B7" t="s">
        <v>18</v>
      </c>
      <c r="C7" t="s">
        <v>4</v>
      </c>
      <c r="D7">
        <v>62000</v>
      </c>
    </row>
    <row r="8" spans="1:5">
      <c r="A8">
        <v>107</v>
      </c>
      <c r="B8" t="s">
        <v>19</v>
      </c>
      <c r="C8" t="s">
        <v>15</v>
      </c>
      <c r="D8">
        <v>51000</v>
      </c>
    </row>
    <row r="9" spans="1:5">
      <c r="A9">
        <v>108</v>
      </c>
      <c r="B9" t="s">
        <v>20</v>
      </c>
      <c r="C9" t="s">
        <v>4</v>
      </c>
      <c r="D9">
        <v>59000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Pivot_summary</vt:lpstr>
      <vt:lpstr>Employee_Sales</vt:lpstr>
      <vt:lpstr>Employee_Lookup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Teja</dc:creator>
  <cp:lastModifiedBy>Harsha Teja</cp:lastModifiedBy>
  <dcterms:created xsi:type="dcterms:W3CDTF">2026-10-04T06:52:10Z</dcterms:created>
  <dcterms:modified xsi:type="dcterms:W3CDTF">2026-10-04T17:45:26Z</dcterms:modified>
</cp:coreProperties>
</file>